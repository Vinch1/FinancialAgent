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my\Documents\Github\simple-agent\.claude\skills\per-option-value\template\"/>
    </mc:Choice>
  </mc:AlternateContent>
  <xr:revisionPtr revIDLastSave="0" documentId="13_ncr:1_{BF4590BF-9339-439A-B170-6D8ECE9A037F}" xr6:coauthVersionLast="47" xr6:coauthVersionMax="47" xr10:uidLastSave="{00000000-0000-0000-0000-000000000000}"/>
  <bookViews>
    <workbookView xWindow="-825" yWindow="1230" windowWidth="13920" windowHeight="11385" xr2:uid="{00000000-000D-0000-FFFF-FFFF00000000}"/>
  </bookViews>
  <sheets>
    <sheet name="ES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D25" i="1" l="1"/>
  <c r="D17" i="1"/>
  <c r="D21" i="1"/>
  <c r="D22" i="1"/>
  <c r="D23" i="1"/>
  <c r="D20" i="1"/>
  <c r="D19" i="1"/>
  <c r="D18" i="1"/>
  <c r="D24" i="1"/>
  <c r="D29" i="1" l="1"/>
  <c r="B62" i="1"/>
  <c r="B63" i="1" s="1"/>
  <c r="B64" i="1" s="1"/>
  <c r="B61" i="1"/>
  <c r="B60" i="1"/>
  <c r="C58" i="1"/>
  <c r="B52" i="1"/>
  <c r="B53" i="1" s="1"/>
  <c r="B54" i="1" s="1"/>
  <c r="B55" i="1" s="1"/>
  <c r="B51" i="1"/>
  <c r="C49" i="1"/>
  <c r="B45" i="1"/>
  <c r="B46" i="1" s="1"/>
  <c r="B44" i="1"/>
  <c r="B43" i="1"/>
  <c r="B42" i="1"/>
  <c r="C40" i="1"/>
  <c r="C29" i="1"/>
  <c r="R21" i="1"/>
  <c r="S21" i="1" s="1"/>
  <c r="C28" i="1" l="1"/>
</calcChain>
</file>

<file path=xl/sharedStrings.xml><?xml version="1.0" encoding="utf-8"?>
<sst xmlns="http://schemas.openxmlformats.org/spreadsheetml/2006/main" count="91" uniqueCount="71">
  <si>
    <t>In HKD unless otherwise stated in this worksheet</t>
    <phoneticPr fontId="0" type="noConversion"/>
  </si>
  <si>
    <t>Client</t>
  </si>
  <si>
    <t>Valuation Subject</t>
  </si>
  <si>
    <t>Valuation Date</t>
  </si>
  <si>
    <t>ESOP for Ms. Zhang Qing</t>
  </si>
  <si>
    <t>Parameters</t>
    <phoneticPr fontId="0" type="noConversion"/>
  </si>
  <si>
    <t>Risk-free Rate</t>
  </si>
  <si>
    <t>Item</t>
    <phoneticPr fontId="0" type="noConversion"/>
  </si>
  <si>
    <t>Value</t>
    <phoneticPr fontId="0" type="noConversion"/>
  </si>
  <si>
    <t>Grant Date</t>
    <phoneticPr fontId="0" type="noConversion"/>
  </si>
  <si>
    <t>Maturity Date</t>
    <phoneticPr fontId="0" type="noConversion"/>
  </si>
  <si>
    <t>Total number of share options</t>
  </si>
  <si>
    <t>Option Pricing Model</t>
  </si>
  <si>
    <t>Batch 1</t>
  </si>
  <si>
    <t>Batch 2</t>
  </si>
  <si>
    <t>Batch 3</t>
  </si>
  <si>
    <t>Note</t>
  </si>
  <si>
    <t>Number of Options</t>
  </si>
  <si>
    <t>Vesting Date</t>
    <phoneticPr fontId="0" type="noConversion"/>
  </si>
  <si>
    <t>Spot Price (HKD)</t>
  </si>
  <si>
    <t>S</t>
    <phoneticPr fontId="0" type="noConversion"/>
  </si>
  <si>
    <t>Strike Price (HKD)</t>
  </si>
  <si>
    <t>Tenor</t>
  </si>
  <si>
    <t>Rfr</t>
  </si>
  <si>
    <t>X</t>
    <phoneticPr fontId="0" type="noConversion"/>
  </si>
  <si>
    <t>Time to Maturity</t>
    <phoneticPr fontId="1" type="noConversion"/>
  </si>
  <si>
    <t>T</t>
    <phoneticPr fontId="0" type="noConversion"/>
  </si>
  <si>
    <t>Volatility</t>
    <phoneticPr fontId="1" type="noConversion"/>
  </si>
  <si>
    <t>520-week historical volatility</t>
  </si>
  <si>
    <t>V</t>
    <phoneticPr fontId="0" type="noConversion"/>
  </si>
  <si>
    <t>Risk-free Rate</t>
    <phoneticPr fontId="1" type="noConversion"/>
  </si>
  <si>
    <t>R</t>
    <phoneticPr fontId="0" type="noConversion"/>
  </si>
  <si>
    <t>Dividend Yield</t>
    <phoneticPr fontId="1" type="noConversion"/>
  </si>
  <si>
    <t>D</t>
    <phoneticPr fontId="0" type="noConversion"/>
  </si>
  <si>
    <t>Exercise Multiple</t>
  </si>
  <si>
    <t>Empirical study</t>
  </si>
  <si>
    <t>Pre-vesting Exit Rate</t>
    <phoneticPr fontId="1" type="noConversion"/>
  </si>
  <si>
    <t>Post-vesting Exit Rate</t>
    <phoneticPr fontId="1" type="noConversion"/>
  </si>
  <si>
    <t>Average 5-year turnover ratio of management grade staff</t>
  </si>
  <si>
    <t>Time to Vest</t>
    <phoneticPr fontId="1" type="noConversion"/>
  </si>
  <si>
    <t>Value per Option</t>
    <phoneticPr fontId="0" type="noConversion"/>
  </si>
  <si>
    <t>Total Value</t>
  </si>
  <si>
    <t>Share Price</t>
  </si>
  <si>
    <t>Volatility</t>
  </si>
  <si>
    <t>Dividend Yield</t>
  </si>
  <si>
    <t>Batch 4</t>
  </si>
  <si>
    <t>Exercise Multiple for Top Executives (Source: Accounting for Employee Stock Options, John Hull and Alan White)</t>
  </si>
  <si>
    <t>Exercise Multiple (Source:  ACCOUNTING FOR EMPLOYEE STOCK OPTIONS, John Hull and Alan White)</t>
  </si>
  <si>
    <t>Terms of the ESO</t>
  </si>
  <si>
    <t>{{Client Name}}</t>
  </si>
  <si>
    <t>{{Valuation Subject}}</t>
  </si>
  <si>
    <t>{{Valuation Date}}</t>
  </si>
  <si>
    <t>{{Grant Date of the Subject}}</t>
  </si>
  <si>
    <t>{{Maturity Date}}</t>
  </si>
  <si>
    <t>{{Total No. of Share Options}}</t>
  </si>
  <si>
    <t>{{Time to Maturity}}</t>
  </si>
  <si>
    <t>{{Spot Price}}</t>
  </si>
  <si>
    <t>{{Volatility}}</t>
  </si>
  <si>
    <t>{{Risk-free Rate}}</t>
  </si>
  <si>
    <t>{{Dividend Yield}}</t>
  </si>
  <si>
    <t>{{Exercise Multiple}}</t>
  </si>
  <si>
    <t>{{Post-vesting Exit Rate}}</t>
  </si>
  <si>
    <t>{{Vesting Date1}}</t>
  </si>
  <si>
    <t>{{Vesting Date2}}</t>
  </si>
  <si>
    <t>{{No. of Share Options1}}</t>
  </si>
  <si>
    <t>{{No. of Share Options2}}</t>
  </si>
  <si>
    <t>…</t>
  </si>
  <si>
    <t>{{PerOptionValue1}}</t>
  </si>
  <si>
    <t>{{PerOptionValue2}}</t>
  </si>
  <si>
    <t>{{Time to Vest1}}</t>
  </si>
  <si>
    <t>{{Time to Vest2}}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</si>
</sst>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 mmm\ yyyy"/>
    <numFmt numFmtId="165" formatCode="0.000"/>
    <numFmt numFmtId="166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2"/>
      <name val="宋体"/>
      <charset val="134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1" fillId="0" borderId="0"/>
  </cellStyleXfs>
  <cellXfs count="56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5" fillId="2" borderId="0" xfId="3" applyFont="1" applyFill="1"/>
    <xf numFmtId="0" fontId="5" fillId="2" borderId="0" xfId="3" applyFont="1" applyFill="1" applyAlignment="1">
      <alignment horizontal="left"/>
    </xf>
    <xf numFmtId="0" fontId="6" fillId="2" borderId="0" xfId="3" applyFont="1" applyFill="1"/>
    <xf numFmtId="0" fontId="6" fillId="2" borderId="0" xfId="3" applyFont="1" applyFill="1" applyAlignment="1">
      <alignment horizontal="left" indent="1"/>
    </xf>
    <xf numFmtId="0" fontId="5" fillId="2" borderId="1" xfId="3" applyFont="1" applyFill="1" applyBorder="1"/>
    <xf numFmtId="164" fontId="5" fillId="2" borderId="1" xfId="3" applyNumberFormat="1" applyFont="1" applyFill="1" applyBorder="1" applyAlignment="1">
      <alignment horizontal="left"/>
    </xf>
    <xf numFmtId="0" fontId="6" fillId="2" borderId="1" xfId="3" applyFont="1" applyFill="1" applyBorder="1"/>
    <xf numFmtId="0" fontId="6" fillId="2" borderId="1" xfId="3" applyFont="1" applyFill="1" applyBorder="1" applyAlignment="1">
      <alignment horizontal="left" indent="1"/>
    </xf>
    <xf numFmtId="0" fontId="7" fillId="3" borderId="0" xfId="3" applyFont="1" applyFill="1"/>
    <xf numFmtId="0" fontId="8" fillId="3" borderId="0" xfId="3" applyFont="1" applyFill="1"/>
    <xf numFmtId="0" fontId="8" fillId="3" borderId="0" xfId="3" applyFont="1" applyFill="1" applyAlignment="1">
      <alignment horizontal="left" indent="1"/>
    </xf>
    <xf numFmtId="0" fontId="2" fillId="0" borderId="0" xfId="0" applyFont="1" applyAlignment="1">
      <alignment horizontal="center"/>
    </xf>
    <xf numFmtId="0" fontId="9" fillId="0" borderId="0" xfId="0" applyFont="1"/>
    <xf numFmtId="0" fontId="7" fillId="3" borderId="0" xfId="3" applyFont="1" applyFill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3" applyFont="1" applyAlignment="1">
      <alignment horizontal="left"/>
    </xf>
    <xf numFmtId="166" fontId="10" fillId="0" borderId="0" xfId="1" applyNumberFormat="1" applyFont="1" applyFill="1" applyAlignment="1">
      <alignment horizontal="left"/>
    </xf>
    <xf numFmtId="0" fontId="7" fillId="0" borderId="0" xfId="3" applyFont="1" applyAlignment="1">
      <alignment horizontal="left"/>
    </xf>
    <xf numFmtId="164" fontId="2" fillId="4" borderId="0" xfId="0" applyNumberFormat="1" applyFont="1" applyFill="1"/>
    <xf numFmtId="0" fontId="2" fillId="0" borderId="0" xfId="4" applyFont="1" applyAlignment="1">
      <alignment vertical="center"/>
    </xf>
    <xf numFmtId="43" fontId="2" fillId="0" borderId="0" xfId="1" applyFont="1" applyBorder="1" applyAlignment="1">
      <alignment horizontal="left"/>
    </xf>
    <xf numFmtId="43" fontId="2" fillId="0" borderId="0" xfId="1" applyFont="1" applyBorder="1"/>
    <xf numFmtId="10" fontId="2" fillId="0" borderId="0" xfId="0" applyNumberFormat="1" applyFont="1"/>
    <xf numFmtId="10" fontId="2" fillId="0" borderId="0" xfId="2" applyNumberFormat="1" applyFont="1"/>
    <xf numFmtId="0" fontId="2" fillId="0" borderId="2" xfId="0" applyFont="1" applyBorder="1"/>
    <xf numFmtId="10" fontId="2" fillId="0" borderId="2" xfId="0" applyNumberFormat="1" applyFont="1" applyBorder="1"/>
    <xf numFmtId="10" fontId="2" fillId="0" borderId="0" xfId="2" applyNumberFormat="1" applyFont="1" applyAlignment="1"/>
    <xf numFmtId="165" fontId="2" fillId="0" borderId="0" xfId="1" applyNumberFormat="1" applyFont="1" applyAlignment="1"/>
    <xf numFmtId="10" fontId="2" fillId="0" borderId="0" xfId="2" applyNumberFormat="1" applyFont="1" applyFill="1"/>
    <xf numFmtId="0" fontId="2" fillId="0" borderId="2" xfId="4" applyFont="1" applyBorder="1" applyAlignment="1">
      <alignment vertical="center"/>
    </xf>
    <xf numFmtId="165" fontId="2" fillId="5" borderId="2" xfId="0" applyNumberFormat="1" applyFont="1" applyFill="1" applyBorder="1"/>
    <xf numFmtId="0" fontId="2" fillId="0" borderId="2" xfId="0" applyFont="1" applyBorder="1" applyAlignment="1">
      <alignment horizontal="left"/>
    </xf>
    <xf numFmtId="0" fontId="10" fillId="0" borderId="3" xfId="0" applyFont="1" applyBorder="1"/>
    <xf numFmtId="2" fontId="10" fillId="0" borderId="0" xfId="0" applyNumberFormat="1" applyFont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10" fillId="0" borderId="4" xfId="0" applyFont="1" applyBorder="1"/>
    <xf numFmtId="38" fontId="10" fillId="0" borderId="4" xfId="0" applyNumberFormat="1" applyFon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0" fontId="10" fillId="0" borderId="0" xfId="0" applyFont="1"/>
    <xf numFmtId="9" fontId="2" fillId="0" borderId="0" xfId="2" applyFont="1" applyAlignment="1">
      <alignment horizontal="right"/>
    </xf>
    <xf numFmtId="0" fontId="10" fillId="0" borderId="0" xfId="0" applyFont="1" applyAlignment="1">
      <alignment horizontal="right"/>
    </xf>
    <xf numFmtId="0" fontId="12" fillId="0" borderId="0" xfId="0" applyFont="1"/>
    <xf numFmtId="2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2" fontId="2" fillId="0" borderId="0" xfId="0" applyNumberFormat="1" applyFont="1"/>
    <xf numFmtId="0" fontId="7" fillId="3" borderId="0" xfId="3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3" xr:uid="{2474CE6E-F1D7-421E-972E-8B455635627C}"/>
    <cellStyle name="Normal 5" xfId="4" xr:uid="{9C0C8C51-803E-4E98-94FA-C44FB723DCB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840442</xdr:colOff>
      <xdr:row>79</xdr:row>
      <xdr:rowOff>22412</xdr:rowOff>
    </xdr:from>
    <xdr:to>
      <xdr:col>16</xdr:col>
      <xdr:colOff>398307</xdr:colOff>
      <xdr:row>89</xdr:row>
      <xdr:rowOff>22412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5CEFE1-9D05-4F72-AE0A-C944DC754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70242" y="9385487"/>
          <a:ext cx="4644215" cy="190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11206</xdr:colOff>
      <xdr:row>31</xdr:row>
      <xdr:rowOff>11206</xdr:rowOff>
    </xdr:from>
    <xdr:to>
      <xdr:col>14</xdr:col>
      <xdr:colOff>532455</xdr:colOff>
      <xdr:row>37</xdr:row>
      <xdr:rowOff>20587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68F83D-AF88-40C3-BC1F-2B83691A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8731" y="5945281"/>
          <a:ext cx="3064424" cy="11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11205</xdr:colOff>
      <xdr:row>69</xdr:row>
      <xdr:rowOff>11207</xdr:rowOff>
    </xdr:from>
    <xdr:to>
      <xdr:col>14</xdr:col>
      <xdr:colOff>686984</xdr:colOff>
      <xdr:row>77</xdr:row>
      <xdr:rowOff>33619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991328-0069-470A-BB13-836A7DF8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88730" y="7469282"/>
          <a:ext cx="3218954" cy="1546412"/>
        </a:xfrm>
        <a:prstGeom prst="rect">
          <a:avLst/>
        </a:prstGeom>
      </xdr:spPr>
    </xdr:pic>
    <xdr:clientData/>
  </xdr:twoCellAnchor>
  <xdr:twoCellAnchor editAs="oneCell">
    <xdr:from>
      <xdr:col>11</xdr:col>
      <xdr:colOff>44823</xdr:colOff>
      <xdr:row>116</xdr:row>
      <xdr:rowOff>33617</xdr:rowOff>
    </xdr:from>
    <xdr:to>
      <xdr:col>20</xdr:col>
      <xdr:colOff>37143</xdr:colOff>
      <xdr:row>150</xdr:row>
      <xdr:rowOff>61379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FF78F0-74C0-49F6-BB56-F8834B9AD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22348" y="16445192"/>
          <a:ext cx="7621845" cy="6504762"/>
        </a:xfrm>
        <a:prstGeom prst="rect">
          <a:avLst/>
        </a:prstGeom>
      </xdr:spPr>
    </xdr:pic>
    <xdr:clientData/>
  </xdr:twoCellAnchor>
  <xdr:twoCellAnchor editAs="oneCell">
    <xdr:from>
      <xdr:col>11</xdr:col>
      <xdr:colOff>33616</xdr:colOff>
      <xdr:row>91</xdr:row>
      <xdr:rowOff>22412</xdr:rowOff>
    </xdr:from>
    <xdr:to>
      <xdr:col>18</xdr:col>
      <xdr:colOff>672087</xdr:colOff>
      <xdr:row>113</xdr:row>
      <xdr:rowOff>98079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23513D-E26A-42BD-ABF3-CAE66C0F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11141" y="11671487"/>
          <a:ext cx="6572546" cy="4266667"/>
        </a:xfrm>
        <a:prstGeom prst="rect">
          <a:avLst/>
        </a:prstGeom>
      </xdr:spPr>
    </xdr:pic>
    <xdr:clientData/>
  </xdr:twoCellAnchor>
  <xdr:twoCellAnchor editAs="oneCell">
    <xdr:from>
      <xdr:col>11</xdr:col>
      <xdr:colOff>33616</xdr:colOff>
      <xdr:row>7</xdr:row>
      <xdr:rowOff>1</xdr:rowOff>
    </xdr:from>
    <xdr:to>
      <xdr:col>15</xdr:col>
      <xdr:colOff>741314</xdr:colOff>
      <xdr:row>29</xdr:row>
      <xdr:rowOff>16844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C65448-5802-4A00-94CC-CFAC6AB21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11141" y="1343026"/>
          <a:ext cx="4098598" cy="4207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"/>
  <sheetViews>
    <sheetView tabSelected="1" topLeftCell="B7" workbookViewId="0">
      <selection activeCell="E17" sqref="E17"/>
    </sheetView>
  </sheetViews>
  <sheetFormatPr defaultRowHeight="15"/>
  <cols>
    <col min="1" max="1" width="5" style="1" customWidth="1"/>
    <col min="2" max="2" width="40.7109375" style="3" customWidth="1"/>
    <col min="3" max="3" width="27.5703125" style="3" bestFit="1" customWidth="1"/>
    <col min="4" max="5" width="23.42578125" style="3" bestFit="1" customWidth="1"/>
    <col min="6" max="121" width="12.7109375" style="3" customWidth="1"/>
    <col min="122" max="16384" width="9.140625" style="3"/>
  </cols>
  <sheetData>
    <row r="1" spans="2:12">
      <c r="B1" s="2" t="s">
        <v>0</v>
      </c>
    </row>
    <row r="2" spans="2:12">
      <c r="B2" s="4" t="s">
        <v>1</v>
      </c>
      <c r="C2" s="5" t="s">
        <v>49</v>
      </c>
      <c r="D2" s="6"/>
      <c r="E2" s="6"/>
      <c r="F2" s="7"/>
      <c r="G2" s="7"/>
      <c r="H2" s="7"/>
      <c r="I2" s="7"/>
      <c r="J2" s="7"/>
    </row>
    <row r="3" spans="2:12">
      <c r="B3" s="4" t="s">
        <v>2</v>
      </c>
      <c r="C3" s="5" t="s">
        <v>50</v>
      </c>
      <c r="D3" s="6"/>
      <c r="E3" s="6"/>
      <c r="F3" s="7"/>
      <c r="G3" s="7"/>
      <c r="H3" s="7"/>
      <c r="I3" s="7"/>
      <c r="J3" s="7"/>
    </row>
    <row r="4" spans="2:12" ht="15.75" thickBot="1">
      <c r="B4" s="8" t="s">
        <v>3</v>
      </c>
      <c r="C4" s="9" t="s">
        <v>51</v>
      </c>
      <c r="D4" s="10"/>
      <c r="E4" s="10"/>
      <c r="F4" s="11"/>
      <c r="G4" s="11"/>
      <c r="H4" s="11"/>
      <c r="I4" s="11"/>
      <c r="J4" s="11"/>
    </row>
    <row r="5" spans="2:12">
      <c r="B5" s="12" t="s">
        <v>4</v>
      </c>
      <c r="C5" s="13"/>
      <c r="D5" s="13"/>
      <c r="E5" s="13"/>
      <c r="F5" s="14"/>
      <c r="G5" s="14"/>
      <c r="H5" s="14"/>
      <c r="I5" s="14"/>
      <c r="J5" s="14"/>
    </row>
    <row r="6" spans="2:12">
      <c r="B6" s="15"/>
    </row>
    <row r="7" spans="2:12">
      <c r="B7" s="16" t="s">
        <v>5</v>
      </c>
      <c r="L7" s="16" t="s">
        <v>6</v>
      </c>
    </row>
    <row r="8" spans="2:12">
      <c r="B8" s="17" t="s">
        <v>7</v>
      </c>
      <c r="C8" s="55" t="s">
        <v>8</v>
      </c>
    </row>
    <row r="9" spans="2:12">
      <c r="B9" s="3" t="s">
        <v>9</v>
      </c>
      <c r="C9" s="18" t="s">
        <v>52</v>
      </c>
    </row>
    <row r="10" spans="2:12">
      <c r="B10" s="3" t="s">
        <v>10</v>
      </c>
      <c r="C10" s="18" t="s">
        <v>53</v>
      </c>
    </row>
    <row r="11" spans="2:12">
      <c r="B11" s="3" t="s">
        <v>11</v>
      </c>
      <c r="C11" s="19" t="s">
        <v>54</v>
      </c>
      <c r="F11" s="20"/>
    </row>
    <row r="12" spans="2:12">
      <c r="E12" s="21"/>
    </row>
    <row r="13" spans="2:12">
      <c r="B13" s="16" t="s">
        <v>12</v>
      </c>
      <c r="E13" s="21"/>
    </row>
    <row r="14" spans="2:12">
      <c r="B14" s="17" t="s">
        <v>7</v>
      </c>
      <c r="C14" s="55" t="s">
        <v>13</v>
      </c>
      <c r="D14" s="55" t="s">
        <v>14</v>
      </c>
      <c r="E14" s="55" t="s">
        <v>66</v>
      </c>
      <c r="F14" s="17" t="s">
        <v>16</v>
      </c>
      <c r="G14" s="17"/>
      <c r="H14" s="17"/>
      <c r="I14" s="17"/>
      <c r="J14" s="17"/>
    </row>
    <row r="15" spans="2:12">
      <c r="B15" s="22" t="s">
        <v>17</v>
      </c>
      <c r="C15" s="19" t="s">
        <v>64</v>
      </c>
      <c r="D15" s="19" t="s">
        <v>65</v>
      </c>
      <c r="E15" s="19" t="s">
        <v>66</v>
      </c>
      <c r="F15" s="23"/>
      <c r="G15" s="23"/>
      <c r="H15" s="24"/>
      <c r="I15" s="24"/>
      <c r="J15" s="24"/>
    </row>
    <row r="16" spans="2:12">
      <c r="B16" s="3" t="s">
        <v>18</v>
      </c>
      <c r="C16" s="25" t="s">
        <v>62</v>
      </c>
      <c r="D16" s="25" t="s">
        <v>63</v>
      </c>
      <c r="E16" s="25" t="s">
        <v>66</v>
      </c>
      <c r="F16" s="21"/>
    </row>
    <row r="17" spans="1:21">
      <c r="B17" s="26" t="s">
        <v>19</v>
      </c>
      <c r="C17" s="20" t="s">
        <v>56</v>
      </c>
      <c r="D17" s="20" t="str">
        <f>C17</f>
        <v>{{Spot Price}}</v>
      </c>
      <c r="E17" s="20" t="s">
        <v>66</v>
      </c>
      <c r="F17" s="27"/>
      <c r="H17" s="28"/>
      <c r="I17" s="28"/>
      <c r="J17" s="28"/>
    </row>
    <row r="18" spans="1:21">
      <c r="A18" s="1" t="s">
        <v>20</v>
      </c>
      <c r="B18" s="26" t="s">
        <v>21</v>
      </c>
      <c r="C18" s="20" t="s">
        <v>56</v>
      </c>
      <c r="D18" s="20" t="str">
        <f>C18</f>
        <v>{{Spot Price}}</v>
      </c>
      <c r="E18" s="20" t="s">
        <v>66</v>
      </c>
      <c r="F18" s="27"/>
      <c r="H18" s="28"/>
      <c r="I18" s="28"/>
      <c r="J18" s="28"/>
      <c r="R18" s="1" t="s">
        <v>22</v>
      </c>
      <c r="S18" s="1" t="s">
        <v>23</v>
      </c>
    </row>
    <row r="19" spans="1:21">
      <c r="A19" s="1" t="s">
        <v>24</v>
      </c>
      <c r="B19" s="26" t="s">
        <v>25</v>
      </c>
      <c r="C19" s="20" t="s">
        <v>55</v>
      </c>
      <c r="D19" s="20" t="str">
        <f>C19</f>
        <v>{{Time to Maturity}}</v>
      </c>
      <c r="E19" s="20" t="s">
        <v>66</v>
      </c>
      <c r="F19" s="27"/>
      <c r="H19" s="28"/>
      <c r="I19" s="28"/>
      <c r="J19" s="28"/>
      <c r="R19" s="3">
        <v>7</v>
      </c>
      <c r="S19" s="29">
        <v>3.3750000000000002E-2</v>
      </c>
    </row>
    <row r="20" spans="1:21">
      <c r="A20" s="1" t="s">
        <v>26</v>
      </c>
      <c r="B20" s="26" t="s">
        <v>27</v>
      </c>
      <c r="C20" s="30" t="s">
        <v>57</v>
      </c>
      <c r="D20" s="30" t="str">
        <f>$C$20</f>
        <v>{{Volatility}}</v>
      </c>
      <c r="E20" s="30" t="s">
        <v>66</v>
      </c>
      <c r="F20" s="21" t="s">
        <v>28</v>
      </c>
      <c r="R20" s="31">
        <v>10</v>
      </c>
      <c r="S20" s="32">
        <v>3.4099999999999998E-2</v>
      </c>
    </row>
    <row r="21" spans="1:21">
      <c r="A21" s="1" t="s">
        <v>29</v>
      </c>
      <c r="B21" s="26" t="s">
        <v>30</v>
      </c>
      <c r="C21" s="33" t="s">
        <v>58</v>
      </c>
      <c r="D21" s="33" t="str">
        <f>C21</f>
        <v>{{Risk-free Rate}}</v>
      </c>
      <c r="E21" s="33" t="s">
        <v>66</v>
      </c>
      <c r="F21" s="21"/>
      <c r="R21" s="20" t="str">
        <f>C19</f>
        <v>{{Time to Maturity}}</v>
      </c>
      <c r="S21" s="30" t="e">
        <f>TREND(S19:S20,R19:R20,R21)</f>
        <v>#VALUE!</v>
      </c>
    </row>
    <row r="22" spans="1:21">
      <c r="A22" s="1" t="s">
        <v>31</v>
      </c>
      <c r="B22" s="26" t="s">
        <v>32</v>
      </c>
      <c r="C22" s="30" t="s">
        <v>59</v>
      </c>
      <c r="D22" s="30" t="str">
        <f>$C$22</f>
        <v>{{Dividend Yield}}</v>
      </c>
      <c r="E22" s="30" t="s">
        <v>66</v>
      </c>
      <c r="F22" s="21"/>
    </row>
    <row r="23" spans="1:21">
      <c r="A23" s="1" t="s">
        <v>33</v>
      </c>
      <c r="B23" s="26" t="s">
        <v>34</v>
      </c>
      <c r="C23" s="34" t="s">
        <v>60</v>
      </c>
      <c r="D23" s="34" t="str">
        <f>$C$23</f>
        <v>{{Exercise Multiple}}</v>
      </c>
      <c r="E23" s="34" t="s">
        <v>66</v>
      </c>
      <c r="F23" s="21" t="s">
        <v>35</v>
      </c>
    </row>
    <row r="24" spans="1:21">
      <c r="B24" s="26" t="s">
        <v>36</v>
      </c>
      <c r="C24" s="30">
        <v>0</v>
      </c>
      <c r="D24" s="30">
        <f>$C$24</f>
        <v>0</v>
      </c>
      <c r="E24" s="30" t="s">
        <v>66</v>
      </c>
      <c r="F24" s="21"/>
    </row>
    <row r="25" spans="1:21">
      <c r="B25" s="26" t="s">
        <v>37</v>
      </c>
      <c r="C25" s="35" t="s">
        <v>61</v>
      </c>
      <c r="D25" s="35" t="str">
        <f>C25</f>
        <v>{{Post-vesting Exit Rate}}</v>
      </c>
      <c r="E25" s="35" t="s">
        <v>66</v>
      </c>
      <c r="F25" s="21" t="s">
        <v>38</v>
      </c>
    </row>
    <row r="26" spans="1:21">
      <c r="B26" s="36" t="s">
        <v>39</v>
      </c>
      <c r="C26" s="37" t="s">
        <v>69</v>
      </c>
      <c r="D26" s="37" t="s">
        <v>70</v>
      </c>
      <c r="E26" s="37" t="s">
        <v>66</v>
      </c>
      <c r="F26" s="31"/>
      <c r="G26" s="38"/>
    </row>
    <row r="27" spans="1:21">
      <c r="B27" s="39" t="s">
        <v>40</v>
      </c>
      <c r="C27" s="40" t="s">
        <v>67</v>
      </c>
      <c r="D27" s="40" t="s">
        <v>68</v>
      </c>
      <c r="E27" s="40" t="s">
        <v>66</v>
      </c>
      <c r="F27" s="41"/>
      <c r="G27" s="42"/>
      <c r="H27" s="42"/>
      <c r="I27" s="42"/>
      <c r="J27" s="42"/>
    </row>
    <row r="28" spans="1:21" ht="15.75" thickBot="1">
      <c r="B28" s="43" t="s">
        <v>41</v>
      </c>
      <c r="C28" s="44" t="e">
        <f>C27*C15</f>
        <v>#VALUE!</v>
      </c>
      <c r="D28" s="44" t="e">
        <f>D27*D15</f>
        <v>#VALUE!</v>
      </c>
      <c r="E28" s="44" t="s">
        <v>66</v>
      </c>
      <c r="F28" s="45"/>
      <c r="G28" s="46"/>
      <c r="H28" s="46"/>
      <c r="I28" s="46"/>
      <c r="J28" s="46"/>
    </row>
    <row r="29" spans="1:21" ht="15.75" thickTop="1">
      <c r="B29" s="47"/>
      <c r="C29" s="48" t="e">
        <f>C27/C17</f>
        <v>#VALUE!</v>
      </c>
      <c r="D29" s="48" t="e">
        <f>D27/D17</f>
        <v>#VALUE!</v>
      </c>
      <c r="E29" s="48" t="s">
        <v>66</v>
      </c>
      <c r="F29" s="47"/>
      <c r="G29" s="47"/>
      <c r="H29" s="47"/>
      <c r="I29" s="47"/>
      <c r="J29" s="47"/>
    </row>
    <row r="30" spans="1:21">
      <c r="B30" s="47"/>
      <c r="C30" s="48"/>
      <c r="D30" s="48"/>
      <c r="E30" s="48"/>
      <c r="F30" s="47"/>
      <c r="G30" s="47"/>
      <c r="H30" s="47"/>
      <c r="I30" s="47"/>
      <c r="J30" s="47"/>
    </row>
    <row r="31" spans="1:21" s="47" customFormat="1">
      <c r="A31" s="49"/>
      <c r="B31" s="50"/>
      <c r="C31" s="51"/>
      <c r="D31" s="50"/>
      <c r="E31" s="52"/>
      <c r="F31" s="50"/>
      <c r="G31" s="50"/>
      <c r="H31" s="50"/>
      <c r="I31" s="50"/>
      <c r="J31" s="50"/>
      <c r="L31" s="16" t="s">
        <v>42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s="50" customFormat="1">
      <c r="A32" s="53"/>
      <c r="B32" s="54"/>
      <c r="F32" s="3"/>
      <c r="G32" s="3"/>
      <c r="H32" s="3"/>
      <c r="I32" s="3"/>
      <c r="J32" s="3"/>
      <c r="L32" s="3"/>
      <c r="M32" s="3"/>
      <c r="N32" s="3"/>
      <c r="O32" s="3"/>
      <c r="P32" s="3"/>
      <c r="Q32" s="3"/>
      <c r="R32" s="3"/>
      <c r="S32" s="3"/>
      <c r="T32" s="3"/>
      <c r="U32" s="47"/>
    </row>
    <row r="33" spans="2:21">
      <c r="B33" s="54"/>
      <c r="C33" s="54"/>
      <c r="U33" s="50"/>
    </row>
    <row r="34" spans="2:21">
      <c r="B34" s="54"/>
      <c r="C34" s="54"/>
    </row>
    <row r="35" spans="2:21">
      <c r="B35" s="54"/>
      <c r="C35" s="54"/>
      <c r="D35" s="54"/>
      <c r="E35" s="54"/>
    </row>
    <row r="36" spans="2:21">
      <c r="B36" s="54"/>
      <c r="C36" s="54"/>
      <c r="D36" s="54"/>
      <c r="E36" s="54"/>
    </row>
    <row r="37" spans="2:21">
      <c r="B37" s="54"/>
      <c r="C37" s="54"/>
      <c r="D37" s="54"/>
      <c r="E37" s="54"/>
    </row>
    <row r="39" spans="2:21" hidden="1">
      <c r="C39" s="3" t="s">
        <v>14</v>
      </c>
    </row>
    <row r="40" spans="2:21" hidden="1">
      <c r="C40" s="54" t="e">
        <f>#REF!</f>
        <v>#REF!</v>
      </c>
    </row>
    <row r="41" spans="2:21" hidden="1">
      <c r="B41" s="54">
        <v>8.8000000000000007</v>
      </c>
      <c r="C41" s="54" t="e">
        <v>#REF!</v>
      </c>
      <c r="D41" s="54"/>
      <c r="E41" s="54">
        <v>3</v>
      </c>
    </row>
    <row r="42" spans="2:21" hidden="1">
      <c r="B42" s="54">
        <f>B41+1</f>
        <v>9.8000000000000007</v>
      </c>
      <c r="C42" s="54" t="e">
        <v>#REF!</v>
      </c>
      <c r="D42" s="54"/>
      <c r="E42" s="54">
        <v>4</v>
      </c>
    </row>
    <row r="43" spans="2:21" hidden="1">
      <c r="B43" s="54">
        <f t="shared" ref="B43:B46" si="0">B42+1</f>
        <v>10.8</v>
      </c>
      <c r="C43" s="54" t="e">
        <v>#REF!</v>
      </c>
      <c r="D43" s="54"/>
      <c r="E43" s="54">
        <v>5</v>
      </c>
      <c r="L43" s="16" t="s">
        <v>43</v>
      </c>
    </row>
    <row r="44" spans="2:21" hidden="1">
      <c r="B44" s="54">
        <f t="shared" si="0"/>
        <v>11.8</v>
      </c>
      <c r="C44" s="54" t="e">
        <v>#REF!</v>
      </c>
      <c r="D44" s="54"/>
      <c r="E44" s="54">
        <v>6</v>
      </c>
    </row>
    <row r="45" spans="2:21" hidden="1">
      <c r="B45" s="54">
        <f t="shared" si="0"/>
        <v>12.8</v>
      </c>
      <c r="C45" s="54" t="e">
        <v>#REF!</v>
      </c>
      <c r="D45" s="54"/>
      <c r="E45" s="54">
        <v>7</v>
      </c>
    </row>
    <row r="46" spans="2:21" hidden="1">
      <c r="B46" s="54">
        <f t="shared" si="0"/>
        <v>13.8</v>
      </c>
      <c r="C46" s="54" t="e">
        <v>#REF!</v>
      </c>
      <c r="D46" s="54"/>
      <c r="E46" s="54">
        <v>8</v>
      </c>
    </row>
    <row r="47" spans="2:21" hidden="1">
      <c r="E47" s="54">
        <v>9</v>
      </c>
    </row>
    <row r="48" spans="2:21" hidden="1">
      <c r="C48" s="3" t="s">
        <v>15</v>
      </c>
      <c r="E48" s="54">
        <v>10</v>
      </c>
    </row>
    <row r="49" spans="2:20" hidden="1">
      <c r="C49" s="54" t="e">
        <f>#REF!</f>
        <v>#REF!</v>
      </c>
      <c r="E49" s="54"/>
    </row>
    <row r="50" spans="2:20" hidden="1">
      <c r="B50" s="54">
        <v>8.8000000000000007</v>
      </c>
      <c r="C50" s="54" t="e">
        <v>#REF!</v>
      </c>
      <c r="D50" s="54"/>
    </row>
    <row r="51" spans="2:20" hidden="1">
      <c r="B51" s="54">
        <f>B50+1</f>
        <v>9.8000000000000007</v>
      </c>
      <c r="C51" s="54" t="e">
        <v>#REF!</v>
      </c>
      <c r="D51" s="54"/>
      <c r="L51" s="16" t="s">
        <v>44</v>
      </c>
    </row>
    <row r="52" spans="2:20" hidden="1">
      <c r="B52" s="54">
        <f t="shared" ref="B52:B55" si="1">B51+1</f>
        <v>10.8</v>
      </c>
      <c r="C52" s="54" t="e">
        <v>#REF!</v>
      </c>
      <c r="D52" s="54"/>
      <c r="E52" s="54">
        <v>4</v>
      </c>
    </row>
    <row r="53" spans="2:20" hidden="1">
      <c r="B53" s="54">
        <f t="shared" si="1"/>
        <v>11.8</v>
      </c>
      <c r="C53" s="54" t="e">
        <v>#REF!</v>
      </c>
      <c r="D53" s="54"/>
      <c r="E53" s="54">
        <v>5</v>
      </c>
    </row>
    <row r="54" spans="2:20" hidden="1">
      <c r="B54" s="54">
        <f t="shared" si="1"/>
        <v>12.8</v>
      </c>
      <c r="C54" s="54" t="e">
        <v>#REF!</v>
      </c>
      <c r="D54" s="54"/>
      <c r="E54" s="54">
        <v>6</v>
      </c>
    </row>
    <row r="55" spans="2:20" hidden="1">
      <c r="B55" s="54">
        <f t="shared" si="1"/>
        <v>13.8</v>
      </c>
      <c r="C55" s="54" t="e">
        <v>#REF!</v>
      </c>
      <c r="D55" s="54"/>
      <c r="E55" s="54">
        <v>7</v>
      </c>
    </row>
    <row r="56" spans="2:20" hidden="1">
      <c r="E56" s="54">
        <v>8</v>
      </c>
    </row>
    <row r="57" spans="2:20" hidden="1">
      <c r="C57" s="3" t="s">
        <v>45</v>
      </c>
      <c r="E57" s="54">
        <v>9</v>
      </c>
      <c r="L57" s="47"/>
      <c r="M57" s="47"/>
      <c r="N57" s="47"/>
      <c r="O57" s="47"/>
      <c r="P57" s="47"/>
      <c r="Q57" s="47"/>
      <c r="R57" s="47"/>
      <c r="S57" s="47"/>
      <c r="T57" s="47"/>
    </row>
    <row r="58" spans="2:20" hidden="1">
      <c r="C58" s="54" t="e">
        <f>#REF!</f>
        <v>#REF!</v>
      </c>
      <c r="E58" s="54">
        <v>10</v>
      </c>
      <c r="L58" s="50"/>
      <c r="M58" s="50"/>
      <c r="N58" s="50"/>
      <c r="O58" s="50"/>
      <c r="P58" s="50"/>
      <c r="Q58" s="50"/>
      <c r="R58" s="50"/>
      <c r="S58" s="50"/>
      <c r="T58" s="50"/>
    </row>
    <row r="59" spans="2:20" hidden="1">
      <c r="B59" s="54">
        <v>8.8000000000000007</v>
      </c>
      <c r="C59" s="54" t="e">
        <v>#REF!</v>
      </c>
      <c r="D59" s="54"/>
    </row>
    <row r="60" spans="2:20" hidden="1">
      <c r="B60" s="54">
        <f>B59+1</f>
        <v>9.8000000000000007</v>
      </c>
      <c r="C60" s="54" t="e">
        <v>#REF!</v>
      </c>
      <c r="D60" s="54"/>
    </row>
    <row r="61" spans="2:20" hidden="1">
      <c r="B61" s="54">
        <f t="shared" ref="B61:B64" si="2">B60+1</f>
        <v>10.8</v>
      </c>
      <c r="C61" s="54" t="e">
        <v>#REF!</v>
      </c>
      <c r="D61" s="54"/>
      <c r="L61" s="16" t="s">
        <v>46</v>
      </c>
    </row>
    <row r="62" spans="2:20" hidden="1">
      <c r="B62" s="54">
        <f t="shared" si="2"/>
        <v>11.8</v>
      </c>
      <c r="C62" s="54" t="e">
        <v>#REF!</v>
      </c>
      <c r="D62" s="54"/>
      <c r="E62" s="54">
        <v>5</v>
      </c>
    </row>
    <row r="63" spans="2:20" hidden="1">
      <c r="B63" s="54">
        <f t="shared" si="2"/>
        <v>12.8</v>
      </c>
      <c r="C63" s="54" t="e">
        <v>#REF!</v>
      </c>
      <c r="D63" s="54"/>
      <c r="E63" s="54">
        <v>6</v>
      </c>
    </row>
    <row r="64" spans="2:20" hidden="1">
      <c r="B64" s="54">
        <f t="shared" si="2"/>
        <v>13.8</v>
      </c>
      <c r="C64" s="54" t="e">
        <v>#REF!</v>
      </c>
      <c r="D64" s="54"/>
      <c r="E64" s="54">
        <v>7</v>
      </c>
    </row>
    <row r="65" spans="2:12" hidden="1">
      <c r="E65" s="54">
        <v>8</v>
      </c>
    </row>
    <row r="66" spans="2:12" hidden="1">
      <c r="E66" s="54">
        <v>9</v>
      </c>
    </row>
    <row r="67" spans="2:12" hidden="1">
      <c r="E67" s="54">
        <v>10</v>
      </c>
    </row>
    <row r="68" spans="2:12" hidden="1"/>
    <row r="69" spans="2:12">
      <c r="B69" s="47"/>
      <c r="C69" s="47"/>
      <c r="D69" s="47"/>
      <c r="E69" s="47"/>
      <c r="L69" s="16" t="s">
        <v>44</v>
      </c>
    </row>
    <row r="70" spans="2:12">
      <c r="B70" s="50"/>
      <c r="C70" s="51"/>
      <c r="D70" s="51"/>
      <c r="E70" s="51"/>
    </row>
    <row r="71" spans="2:12">
      <c r="B71" s="54"/>
      <c r="C71" s="54"/>
      <c r="D71" s="54"/>
      <c r="E71" s="54"/>
    </row>
    <row r="72" spans="2:12">
      <c r="B72" s="54"/>
      <c r="C72" s="54"/>
      <c r="D72" s="54"/>
      <c r="E72" s="54"/>
    </row>
    <row r="73" spans="2:12">
      <c r="B73" s="54"/>
      <c r="C73" s="54"/>
      <c r="D73" s="54"/>
      <c r="E73" s="54"/>
    </row>
    <row r="74" spans="2:12">
      <c r="B74" s="54"/>
      <c r="C74" s="54"/>
      <c r="D74" s="54"/>
      <c r="E74" s="54"/>
    </row>
    <row r="75" spans="2:12">
      <c r="B75" s="54"/>
      <c r="C75" s="54"/>
      <c r="D75" s="54"/>
      <c r="E75" s="54"/>
    </row>
    <row r="76" spans="2:12">
      <c r="B76" s="54"/>
      <c r="C76" s="54"/>
      <c r="D76" s="54"/>
      <c r="E76" s="54"/>
    </row>
    <row r="77" spans="2:12">
      <c r="B77" s="54"/>
      <c r="C77" s="54"/>
      <c r="D77" s="54"/>
      <c r="E77" s="54"/>
    </row>
    <row r="78" spans="2:12">
      <c r="B78" s="54"/>
      <c r="C78" s="54"/>
      <c r="D78" s="54"/>
      <c r="E78" s="54"/>
    </row>
    <row r="79" spans="2:12">
      <c r="B79" s="54"/>
      <c r="C79" s="54"/>
      <c r="D79" s="54"/>
      <c r="E79" s="54"/>
      <c r="L79" s="16" t="s">
        <v>43</v>
      </c>
    </row>
    <row r="91" spans="12:12">
      <c r="L91" s="16" t="s">
        <v>47</v>
      </c>
    </row>
    <row r="116" spans="12:12">
      <c r="L116" s="16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2015-06-05T18:17:20Z</dcterms:created>
  <dcterms:modified xsi:type="dcterms:W3CDTF">2026-03-30T07:00:32Z</dcterms:modified>
</cp:coreProperties>
</file>