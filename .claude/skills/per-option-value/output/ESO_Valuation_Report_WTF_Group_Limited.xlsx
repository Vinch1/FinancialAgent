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5" yWindow="2535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dd\ mmmm\ yyyy"/>
    <numFmt numFmtId="165" formatCode="0_);[Red]\(0\)"/>
    <numFmt numFmtId="166" formatCode="[$-409]mmm\-yy;@"/>
    <numFmt numFmtId="167" formatCode="_(* #,##0.000_);_(* \(#,##0.000\);_(* &quot;-&quot;??_);_(@_)"/>
    <numFmt numFmtId="168" formatCode="#,##0.000;\-#,##0.000"/>
    <numFmt numFmtId="169" formatCode="_(* #,##0.0000_);_(* \(#,##0.0000\);_(* &quot;-&quot;??_);_(@_)"/>
    <numFmt numFmtId="170" formatCode="#,##0.000_);[Red]\(#,##0.000\)"/>
    <numFmt numFmtId="171" formatCode="#,##0.000;[Red]\-#,##0.000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6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0"/>
      <sz val="11"/>
    </font>
    <font>
      <name val="Calibri"/>
      <family val="2"/>
      <b val="1"/>
      <i val="1"/>
      <color theme="0"/>
      <sz val="11"/>
    </font>
    <font>
      <name val="Calibri"/>
      <family val="2"/>
      <i val="1"/>
      <color theme="1"/>
      <sz val="11"/>
    </font>
    <font>
      <name val="Calibri"/>
      <family val="2"/>
      <color theme="1"/>
      <sz val="11"/>
    </font>
    <font>
      <name val="Calibri"/>
      <charset val="136"/>
      <family val="2"/>
      <color theme="1"/>
      <sz val="11"/>
      <scheme val="minor"/>
    </font>
    <font>
      <name val="Calibri"/>
      <family val="2"/>
      <b val="1"/>
      <i val="1"/>
      <color theme="1"/>
      <sz val="11"/>
    </font>
    <font>
      <name val="Calibri"/>
      <family val="2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2" fillId="0" borderId="0" applyAlignment="1">
      <alignment vertical="center"/>
    </xf>
    <xf numFmtId="166" fontId="8" fillId="0" borderId="0" applyAlignment="1">
      <alignment vertical="center"/>
    </xf>
    <xf numFmtId="9" fontId="8" fillId="0" borderId="0"/>
  </cellStyleXfs>
  <cellXfs count="65">
    <xf numFmtId="0" fontId="0" fillId="0" borderId="0" pivotButton="0" quotePrefix="0" xfId="0"/>
    <xf numFmtId="0" fontId="3" fillId="2" borderId="0" applyAlignment="1" pivotButton="0" quotePrefix="0" xfId="3">
      <alignment vertical="center"/>
    </xf>
    <xf numFmtId="0" fontId="3" fillId="2" borderId="0" applyAlignment="1" pivotButton="0" quotePrefix="0" xfId="3">
      <alignment horizontal="center" vertical="center"/>
    </xf>
    <xf numFmtId="0" fontId="3" fillId="2" borderId="0" applyAlignment="1" pivotButton="0" quotePrefix="0" xfId="3">
      <alignment horizontal="left" vertical="center" indent="1"/>
    </xf>
    <xf numFmtId="49" fontId="3" fillId="2" borderId="0" applyAlignment="1" pivotButton="0" quotePrefix="0" xfId="3">
      <alignment vertical="center"/>
    </xf>
    <xf numFmtId="164" fontId="3" fillId="2" borderId="0" applyAlignment="1" pivotButton="0" quotePrefix="0" xfId="3">
      <alignment horizontal="left" vertical="center"/>
    </xf>
    <xf numFmtId="0" fontId="4" fillId="3" borderId="0" applyAlignment="1" pivotButton="0" quotePrefix="0" xfId="3">
      <alignment vertical="center"/>
    </xf>
    <xf numFmtId="0" fontId="4" fillId="3" borderId="0" applyAlignment="1" pivotButton="0" quotePrefix="0" xfId="3">
      <alignment horizontal="center" vertical="center"/>
    </xf>
    <xf numFmtId="0" fontId="4" fillId="3" borderId="0" applyAlignment="1" pivotButton="0" quotePrefix="0" xfId="3">
      <alignment horizontal="left" vertical="center" indent="1"/>
    </xf>
    <xf numFmtId="0" fontId="2" fillId="0" borderId="0" applyAlignment="1" pivotButton="0" quotePrefix="0" xfId="3">
      <alignment vertical="center"/>
    </xf>
    <xf numFmtId="0" fontId="2" fillId="0" borderId="0" applyAlignment="1" pivotButton="0" quotePrefix="0" xfId="3">
      <alignment horizontal="center" vertical="center"/>
    </xf>
    <xf numFmtId="0" fontId="2" fillId="0" borderId="0" applyAlignment="1" pivotButton="0" quotePrefix="0" xfId="3">
      <alignment horizontal="left" vertical="center" indent="1"/>
    </xf>
    <xf numFmtId="165" fontId="2" fillId="0" borderId="0" applyAlignment="1" pivotButton="0" quotePrefix="0" xfId="3">
      <alignment vertical="center"/>
    </xf>
    <xf numFmtId="0" fontId="5" fillId="3" borderId="0" applyAlignment="1" pivotButton="0" quotePrefix="0" xfId="3">
      <alignment horizontal="center" vertical="center"/>
    </xf>
    <xf numFmtId="0" fontId="6" fillId="3" borderId="0" applyAlignment="1" pivotButton="0" quotePrefix="0" xfId="3">
      <alignment horizontal="center" vertical="center"/>
    </xf>
    <xf numFmtId="14" fontId="4" fillId="3" borderId="0" applyAlignment="1" pivotButton="0" quotePrefix="0" xfId="3">
      <alignment horizontal="left" vertical="center" indent="1"/>
    </xf>
    <xf numFmtId="14" fontId="4" fillId="3" borderId="0" applyAlignment="1" pivotButton="0" quotePrefix="0" xfId="3">
      <alignment vertical="center"/>
    </xf>
    <xf numFmtId="0" fontId="2" fillId="4" borderId="0" applyAlignment="1" pivotButton="0" quotePrefix="0" xfId="3">
      <alignment vertical="center"/>
    </xf>
    <xf numFmtId="0" fontId="6" fillId="5" borderId="0" applyAlignment="1" pivotButton="0" quotePrefix="0" xfId="3">
      <alignment horizontal="center" vertical="center"/>
    </xf>
    <xf numFmtId="0" fontId="2" fillId="5" borderId="0" applyAlignment="1" pivotButton="0" quotePrefix="0" xfId="3">
      <alignment horizontal="center" vertical="center"/>
    </xf>
    <xf numFmtId="164" fontId="2" fillId="5" borderId="0" applyAlignment="1" pivotButton="0" quotePrefix="0" xfId="3">
      <alignment horizontal="left" vertical="center"/>
    </xf>
    <xf numFmtId="0" fontId="2" fillId="5" borderId="0" applyAlignment="1" pivotButton="0" quotePrefix="0" xfId="3">
      <alignment horizontal="left" vertical="center" indent="1"/>
    </xf>
    <xf numFmtId="0" fontId="2" fillId="5" borderId="0" applyAlignment="1" pivotButton="0" quotePrefix="0" xfId="3">
      <alignment vertical="center"/>
    </xf>
    <xf numFmtId="0" fontId="7" fillId="5" borderId="0" applyAlignment="1" pivotButton="0" quotePrefix="0" xfId="3">
      <alignment horizontal="left" vertical="center"/>
    </xf>
    <xf numFmtId="38" fontId="2" fillId="5" borderId="0" applyAlignment="1" pivotButton="0" quotePrefix="0" xfId="3">
      <alignment horizontal="left" vertical="center" indent="1"/>
    </xf>
    <xf numFmtId="38" fontId="2" fillId="5" borderId="0" applyAlignment="1" pivotButton="0" quotePrefix="0" xfId="3">
      <alignment vertical="center"/>
    </xf>
    <xf numFmtId="0" fontId="6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horizontal="left" vertical="center"/>
    </xf>
    <xf numFmtId="38" fontId="2" fillId="0" borderId="0" applyAlignment="1" pivotButton="0" quotePrefix="0" xfId="3">
      <alignment horizontal="left" vertical="center" indent="1"/>
    </xf>
    <xf numFmtId="38" fontId="2" fillId="0" borderId="0" applyAlignment="1" pivotButton="0" quotePrefix="0" xfId="3">
      <alignment vertical="center"/>
    </xf>
    <xf numFmtId="0" fontId="4" fillId="0" borderId="0" applyAlignment="1" pivotButton="0" quotePrefix="0" xfId="3">
      <alignment vertical="center"/>
    </xf>
    <xf numFmtId="165" fontId="3" fillId="0" borderId="0" applyAlignment="1" pivotButton="0" quotePrefix="0" xfId="4">
      <alignment vertical="center"/>
    </xf>
    <xf numFmtId="166" fontId="3" fillId="6" borderId="0" applyAlignment="1" pivotButton="0" quotePrefix="0" xfId="4">
      <alignment vertical="center"/>
    </xf>
    <xf numFmtId="166" fontId="9" fillId="6" borderId="0" applyAlignment="1" pivotButton="0" quotePrefix="0" xfId="4">
      <alignment horizontal="center" vertical="center"/>
    </xf>
    <xf numFmtId="166" fontId="3" fillId="6" borderId="0" applyAlignment="1" pivotButton="0" quotePrefix="0" xfId="4">
      <alignment horizontal="center" vertical="center"/>
    </xf>
    <xf numFmtId="37" fontId="3" fillId="6" borderId="0" applyAlignment="1" pivotButton="0" quotePrefix="0" xfId="4">
      <alignment horizontal="left" vertical="center"/>
    </xf>
    <xf numFmtId="166" fontId="6" fillId="6" borderId="0" applyAlignment="1" pivotButton="0" quotePrefix="0" xfId="4">
      <alignment horizontal="left" vertical="center" indent="1"/>
    </xf>
    <xf numFmtId="167" fontId="7" fillId="6" borderId="0" applyAlignment="1" pivotButton="0" quotePrefix="1" xfId="1">
      <alignment horizontal="right" vertical="center"/>
    </xf>
    <xf numFmtId="166" fontId="7" fillId="6" borderId="0" applyAlignment="1" pivotButton="0" quotePrefix="0" xfId="4">
      <alignment horizontal="right" vertical="center"/>
    </xf>
    <xf numFmtId="165" fontId="3" fillId="0" borderId="0" applyAlignment="1" pivotButton="0" quotePrefix="0" xfId="4">
      <alignment horizontal="left" vertical="center" indent="1"/>
    </xf>
    <xf numFmtId="166" fontId="3" fillId="6" borderId="1" applyAlignment="1" pivotButton="0" quotePrefix="0" xfId="4">
      <alignment horizontal="left" vertical="center" indent="1"/>
    </xf>
    <xf numFmtId="166" fontId="9" fillId="6" borderId="1" applyAlignment="1" pivotButton="0" quotePrefix="0" xfId="4">
      <alignment horizontal="left" vertical="center" indent="1"/>
    </xf>
    <xf numFmtId="166" fontId="3" fillId="6" borderId="1" applyAlignment="1" pivotButton="0" quotePrefix="0" xfId="4">
      <alignment horizontal="center" vertical="center"/>
    </xf>
    <xf numFmtId="168" fontId="3" fillId="6" borderId="1" applyAlignment="1" pivotButton="0" quotePrefix="0" xfId="4">
      <alignment horizontal="left" vertical="center"/>
    </xf>
    <xf numFmtId="10" fontId="6" fillId="6" borderId="1" applyAlignment="1" pivotButton="0" quotePrefix="0" xfId="5">
      <alignment horizontal="left" vertical="center" indent="2"/>
    </xf>
    <xf numFmtId="168" fontId="7" fillId="6" borderId="1" applyAlignment="1" pivotButton="0" quotePrefix="0" xfId="4">
      <alignment horizontal="right" vertical="center"/>
    </xf>
    <xf numFmtId="10" fontId="7" fillId="6" borderId="1" applyAlignment="1" pivotButton="0" quotePrefix="0" xfId="5">
      <alignment horizontal="right" vertical="center"/>
    </xf>
    <xf numFmtId="0" fontId="10" fillId="0" borderId="0" applyAlignment="1" pivotButton="0" quotePrefix="0" xfId="3">
      <alignment vertical="center"/>
    </xf>
    <xf numFmtId="0" fontId="10" fillId="0" borderId="0" applyAlignment="1" pivotButton="0" quotePrefix="0" xfId="3">
      <alignment horizontal="center" vertical="center"/>
    </xf>
    <xf numFmtId="0" fontId="2" fillId="3" borderId="0" applyAlignment="1" pivotButton="0" quotePrefix="0" xfId="3">
      <alignment vertical="center"/>
    </xf>
    <xf numFmtId="164" fontId="7" fillId="5" borderId="0" applyAlignment="1" pivotButton="0" quotePrefix="0" xfId="3">
      <alignment horizontal="left" vertical="center"/>
    </xf>
    <xf numFmtId="38" fontId="7" fillId="5" borderId="0" applyAlignment="1" pivotButton="0" quotePrefix="0" xfId="3">
      <alignment horizontal="left" vertical="center"/>
    </xf>
    <xf numFmtId="169" fontId="2" fillId="5" borderId="0" applyAlignment="1" pivotButton="0" quotePrefix="0" xfId="1">
      <alignment vertical="center"/>
    </xf>
    <xf numFmtId="170" fontId="7" fillId="5" borderId="0" applyAlignment="1" pivotButton="0" quotePrefix="0" xfId="3">
      <alignment horizontal="left" vertical="center"/>
    </xf>
    <xf numFmtId="0" fontId="4" fillId="3" borderId="0" applyAlignment="1" pivotButton="0" quotePrefix="0" xfId="3">
      <alignment horizontal="left" vertical="center"/>
    </xf>
    <xf numFmtId="0" fontId="2" fillId="7" borderId="0" applyAlignment="1" pivotButton="0" quotePrefix="0" xfId="3">
      <alignment vertical="center"/>
    </xf>
    <xf numFmtId="171" fontId="7" fillId="5" borderId="0" applyAlignment="1" pivotButton="0" quotePrefix="0" xfId="3">
      <alignment horizontal="left" vertical="center"/>
    </xf>
    <xf numFmtId="10" fontId="2" fillId="5" borderId="0" applyAlignment="1" pivotButton="0" quotePrefix="0" xfId="2">
      <alignment vertical="center"/>
    </xf>
    <xf numFmtId="40" fontId="7" fillId="5" borderId="0" applyAlignment="1" pivotButton="0" quotePrefix="0" xfId="3">
      <alignment horizontal="left" vertical="center"/>
    </xf>
    <xf numFmtId="0" fontId="2" fillId="8" borderId="0" applyAlignment="1" pivotButton="0" quotePrefix="0" xfId="3">
      <alignment vertical="center"/>
    </xf>
    <xf numFmtId="10" fontId="7" fillId="5" borderId="0" applyAlignment="1" pivotButton="0" quotePrefix="0" xfId="5">
      <alignment horizontal="left" vertical="center"/>
    </xf>
    <xf numFmtId="10" fontId="2" fillId="5" borderId="0" applyAlignment="1" pivotButton="0" quotePrefix="0" xfId="3">
      <alignment horizontal="left" vertical="center"/>
    </xf>
    <xf numFmtId="9" fontId="2" fillId="5" borderId="0" applyAlignment="1" pivotButton="0" quotePrefix="0" xfId="3">
      <alignment vertical="center"/>
    </xf>
    <xf numFmtId="2" fontId="7" fillId="5" borderId="0" applyAlignment="1" pivotButton="0" quotePrefix="0" xfId="3">
      <alignment horizontal="left" vertical="center"/>
    </xf>
    <xf numFmtId="0" fontId="2" fillId="5" borderId="0" applyAlignment="1" pivotButton="0" quotePrefix="0" xfId="3">
      <alignment horizontal="right" vertical="center"/>
    </xf>
  </cellXfs>
  <cellStyles count="6">
    <cellStyle name="Normal" xfId="0" builtinId="0"/>
    <cellStyle name="Comma" xfId="1" builtinId="3"/>
    <cellStyle name="Percent" xfId="2" builtinId="5"/>
    <cellStyle name="Normal 5" xfId="3"/>
    <cellStyle name="一般 2" xfId="4"/>
    <cellStyle name="百分比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topLeftCell="A19" workbookViewId="0">
      <selection activeCell="A2" sqref="A2"/>
    </sheetView>
  </sheetViews>
  <sheetFormatPr baseColWidth="8" defaultRowHeight="15"/>
  <cols>
    <col width="16.7109375" bestFit="1" customWidth="1" min="1" max="1"/>
    <col width="45.140625" bestFit="1" customWidth="1" min="2" max="2"/>
    <col width="6.5703125" bestFit="1" customWidth="1" min="3" max="3"/>
    <col width="1.5703125" bestFit="1" customWidth="1" min="4" max="4"/>
    <col width="55.7109375" bestFit="1" customWidth="1" min="5" max="5"/>
    <col width="34" bestFit="1" customWidth="1" min="6" max="6"/>
    <col width="63.7109375" bestFit="1" customWidth="1" min="7" max="7"/>
    <col width="24.42578125" customWidth="1" min="9" max="9"/>
    <col width="10.140625" customWidth="1" min="10" max="10"/>
  </cols>
  <sheetData>
    <row r="1">
      <c r="A1" s="1" t="inlineStr">
        <is>
          <t>Client Name</t>
        </is>
      </c>
      <c r="B1" s="1" t="n"/>
      <c r="C1" s="1" t="n"/>
      <c r="D1" s="2" t="inlineStr">
        <is>
          <t>:</t>
        </is>
      </c>
      <c r="E1" s="1" t="inlineStr">
        <is>
          <t>WTF Group Limited</t>
        </is>
      </c>
      <c r="F1" s="3" t="n"/>
      <c r="G1" s="1" t="n"/>
      <c r="H1" s="1" t="n"/>
      <c r="I1" s="1" t="n"/>
      <c r="J1" s="1" t="n"/>
    </row>
    <row r="2">
      <c r="A2" s="1" t="inlineStr">
        <is>
          <t>Valuation Subject</t>
        </is>
      </c>
      <c r="B2" s="1" t="n"/>
      <c r="C2" s="1" t="n"/>
      <c r="D2" s="2" t="inlineStr">
        <is>
          <t>:</t>
        </is>
      </c>
      <c r="E2" s="4" t="inlineStr">
        <is>
          <t>30,000,000 Share Options Issued by the Client on 12 Dec 2023</t>
        </is>
      </c>
      <c r="F2" s="3" t="n"/>
      <c r="G2" s="1" t="n"/>
      <c r="H2" s="1" t="n"/>
      <c r="I2" s="1" t="n"/>
      <c r="J2" s="1" t="n"/>
    </row>
    <row r="3">
      <c r="A3" s="1" t="inlineStr">
        <is>
          <t>Valuation Date</t>
        </is>
      </c>
      <c r="B3" s="1" t="n"/>
      <c r="C3" s="1" t="n"/>
      <c r="D3" s="2" t="inlineStr">
        <is>
          <t>:</t>
        </is>
      </c>
      <c r="E3" s="5" t="inlineStr">
        <is>
          <t>12 December 2022</t>
        </is>
      </c>
      <c r="F3" s="3" t="n"/>
      <c r="G3" s="1" t="n"/>
      <c r="H3" s="1" t="n"/>
      <c r="I3" s="1" t="n"/>
      <c r="J3" s="1" t="n"/>
    </row>
    <row r="4">
      <c r="A4" s="6" t="n"/>
      <c r="B4" s="6" t="inlineStr">
        <is>
          <t>A) SUMMARY</t>
        </is>
      </c>
      <c r="C4" s="6" t="n"/>
      <c r="D4" s="7" t="n"/>
      <c r="E4" s="6" t="n"/>
      <c r="F4" s="8" t="n"/>
      <c r="G4" s="6" t="n"/>
      <c r="H4" s="6" t="n"/>
      <c r="I4" s="6" t="n"/>
      <c r="J4" s="6" t="n"/>
    </row>
    <row r="5">
      <c r="A5" s="9" t="n"/>
      <c r="B5" s="9" t="n"/>
      <c r="C5" s="9" t="n"/>
      <c r="D5" s="10" t="n"/>
      <c r="E5" s="9" t="n"/>
      <c r="F5" s="11" t="n"/>
      <c r="G5" s="9" t="n"/>
      <c r="H5" s="9" t="n"/>
      <c r="I5" s="9" t="n"/>
      <c r="J5" s="9" t="n"/>
    </row>
    <row r="6">
      <c r="A6" s="12" t="n"/>
      <c r="B6" s="6" t="inlineStr">
        <is>
          <t>Exhibit A-1: Valuation Summary</t>
        </is>
      </c>
      <c r="C6" s="13" t="n"/>
      <c r="D6" s="7" t="n"/>
      <c r="E6" s="14" t="n"/>
      <c r="F6" s="15" t="inlineStr">
        <is>
          <t>Remarks</t>
        </is>
      </c>
      <c r="G6" s="16" t="n"/>
      <c r="H6" s="16" t="n"/>
      <c r="I6" s="16" t="n"/>
      <c r="J6" s="16" t="n"/>
    </row>
    <row r="7">
      <c r="A7" s="12" t="n"/>
      <c r="B7" s="17" t="inlineStr">
        <is>
          <t>Valuation Date</t>
        </is>
      </c>
      <c r="C7" s="18" t="n"/>
      <c r="D7" s="19" t="inlineStr">
        <is>
          <t>:</t>
        </is>
      </c>
      <c r="E7" s="20" t="inlineStr">
        <is>
          <t>12 December 2022</t>
        </is>
      </c>
      <c r="F7" s="21" t="inlineStr">
        <is>
          <t>Being the Grant date of the Subject</t>
        </is>
      </c>
      <c r="G7" s="22" t="n"/>
      <c r="H7" s="22" t="n"/>
      <c r="I7" s="22" t="n"/>
      <c r="J7" s="22" t="n"/>
    </row>
    <row r="8">
      <c r="A8" s="12" t="n"/>
      <c r="B8" s="22" t="inlineStr">
        <is>
          <t>Valuation Purpose</t>
        </is>
      </c>
      <c r="C8" s="18" t="n"/>
      <c r="D8" s="19" t="inlineStr">
        <is>
          <t>:</t>
        </is>
      </c>
      <c r="E8" s="20" t="inlineStr">
        <is>
          <t>Accounting reference</t>
        </is>
      </c>
      <c r="F8" s="21" t="n"/>
      <c r="G8" s="22" t="n"/>
      <c r="H8" s="22" t="n"/>
      <c r="I8" s="22" t="n"/>
      <c r="J8" s="22" t="n"/>
    </row>
    <row r="9">
      <c r="A9" s="12" t="n"/>
      <c r="B9" s="22" t="inlineStr">
        <is>
          <t>Value Basis</t>
        </is>
      </c>
      <c r="C9" s="18" t="n"/>
      <c r="D9" s="19" t="inlineStr">
        <is>
          <t>:</t>
        </is>
      </c>
      <c r="E9" s="20" t="inlineStr">
        <is>
          <t>Fair Value</t>
        </is>
      </c>
      <c r="F9" s="21" t="n"/>
      <c r="G9" s="22" t="n"/>
      <c r="H9" s="22" t="n"/>
      <c r="I9" s="22" t="n"/>
      <c r="J9" s="22" t="n"/>
    </row>
    <row r="10">
      <c r="A10" s="12" t="n"/>
      <c r="B10" s="22" t="inlineStr">
        <is>
          <t>Currency Unit</t>
        </is>
      </c>
      <c r="C10" s="18" t="n"/>
      <c r="D10" s="19" t="inlineStr">
        <is>
          <t>:</t>
        </is>
      </c>
      <c r="E10" s="23" t="inlineStr">
        <is>
          <t>HKD</t>
        </is>
      </c>
      <c r="F10" s="24" t="n"/>
      <c r="G10" s="25" t="n"/>
      <c r="H10" s="22" t="n"/>
      <c r="I10" s="22" t="n"/>
      <c r="J10" s="22" t="n"/>
    </row>
    <row r="11">
      <c r="A11" s="12" t="n"/>
      <c r="B11" s="9" t="n"/>
      <c r="C11" s="26" t="n"/>
      <c r="D11" s="10" t="n"/>
      <c r="E11" s="27" t="n"/>
      <c r="F11" s="28" t="n"/>
      <c r="G11" s="29" t="n"/>
      <c r="H11" s="9" t="n"/>
      <c r="I11" s="9" t="n"/>
      <c r="J11" s="9" t="n"/>
    </row>
    <row r="12">
      <c r="A12" s="30" t="n"/>
      <c r="B12" s="6" t="inlineStr">
        <is>
          <t>Results</t>
        </is>
      </c>
      <c r="C12" s="6" t="n"/>
      <c r="D12" s="6" t="n"/>
      <c r="E12" s="6" t="inlineStr">
        <is>
          <t>Employee</t>
        </is>
      </c>
      <c r="F12" s="6" t="n"/>
      <c r="G12" s="6" t="inlineStr">
        <is>
          <t>Director</t>
        </is>
      </c>
      <c r="H12" s="6" t="n"/>
      <c r="I12" s="6" t="n"/>
      <c r="J12" s="6" t="n"/>
    </row>
    <row r="13">
      <c r="A13" s="31" t="n"/>
      <c r="B13" s="32" t="inlineStr">
        <is>
          <t>Total Option Value</t>
        </is>
      </c>
      <c r="C13" s="33" t="inlineStr">
        <is>
          <t>HKD</t>
        </is>
      </c>
      <c r="D13" s="34" t="inlineStr">
        <is>
          <t>:</t>
        </is>
      </c>
      <c r="E13" s="35">
        <f>E14*E18</f>
        <v/>
      </c>
      <c r="F13" s="36" t="n"/>
      <c r="G13" s="35">
        <f>G14*G18</f>
        <v/>
      </c>
      <c r="H13" s="36" t="n"/>
      <c r="I13" s="37" t="n"/>
      <c r="J13" s="38" t="n"/>
    </row>
    <row r="14" ht="15.75" customHeight="1" thickBot="1">
      <c r="A14" s="39" t="n"/>
      <c r="B14" s="40" t="inlineStr">
        <is>
          <t>Per Option Value</t>
        </is>
      </c>
      <c r="C14" s="41" t="inlineStr">
        <is>
          <t>HKD</t>
        </is>
      </c>
      <c r="D14" s="42" t="inlineStr">
        <is>
          <t>:</t>
        </is>
      </c>
      <c r="E14" s="43" t="n">
        <v>0.011</v>
      </c>
      <c r="F14" s="44" t="n"/>
      <c r="G14" s="43" t="n">
        <v>0.012</v>
      </c>
      <c r="H14" s="44" t="n"/>
      <c r="I14" s="45" t="n"/>
      <c r="J14" s="46" t="n"/>
    </row>
    <row r="15" ht="15.75" customHeight="1" thickTop="1">
      <c r="A15" s="12" t="n"/>
      <c r="B15" s="47" t="n"/>
      <c r="C15" s="47" t="n"/>
      <c r="D15" s="48" t="n"/>
      <c r="E15" s="9" t="n"/>
      <c r="F15" s="11" t="n"/>
      <c r="G15" s="9" t="n"/>
      <c r="H15" s="9" t="n"/>
      <c r="I15" s="9" t="n"/>
      <c r="J15" s="9" t="n"/>
    </row>
    <row r="16">
      <c r="A16" s="12" t="n"/>
      <c r="B16" s="6" t="inlineStr">
        <is>
          <t>Exhibit A-2 Terms and Conditions of the Subject</t>
        </is>
      </c>
      <c r="C16" s="6" t="n"/>
      <c r="D16" s="7" t="n"/>
      <c r="E16" s="6" t="inlineStr">
        <is>
          <t>Employee</t>
        </is>
      </c>
      <c r="F16" s="49" t="n"/>
      <c r="G16" s="6" t="inlineStr">
        <is>
          <t>Director</t>
        </is>
      </c>
      <c r="H16" s="16" t="n"/>
      <c r="I16" s="15" t="inlineStr">
        <is>
          <t>Remarks</t>
        </is>
      </c>
      <c r="J16" s="16" t="n"/>
    </row>
    <row r="17">
      <c r="A17" s="12" t="n"/>
      <c r="B17" s="17" t="inlineStr">
        <is>
          <t>Grant Date of the Subject</t>
        </is>
      </c>
      <c r="C17" s="18" t="n"/>
      <c r="D17" s="19" t="inlineStr">
        <is>
          <t>:</t>
        </is>
      </c>
      <c r="E17" s="50" t="inlineStr">
        <is>
          <t>12 December 2022</t>
        </is>
      </c>
      <c r="F17" s="22" t="n"/>
      <c r="G17" s="50" t="inlineStr">
        <is>
          <t>12 December 2022</t>
        </is>
      </c>
      <c r="H17" s="22" t="n"/>
      <c r="I17" s="21" t="n"/>
      <c r="J17" s="22" t="n"/>
    </row>
    <row r="18">
      <c r="A18" s="12" t="n"/>
      <c r="B18" s="22" t="inlineStr">
        <is>
          <t>Total No. of Share Options Entitled to Employees</t>
        </is>
      </c>
      <c r="C18" s="18" t="n"/>
      <c r="D18" s="19" t="inlineStr">
        <is>
          <t>:</t>
        </is>
      </c>
      <c r="E18" s="51" t="n">
        <v>28000000</v>
      </c>
      <c r="F18" s="21" t="n"/>
      <c r="G18" s="51" t="n">
        <v>2000000</v>
      </c>
      <c r="H18" s="22" t="n"/>
      <c r="I18" s="52" t="n"/>
      <c r="J18" s="22" t="n"/>
    </row>
    <row r="19">
      <c r="A19" s="12" t="n"/>
      <c r="B19" s="17" t="inlineStr">
        <is>
          <t>Maturity Date</t>
        </is>
      </c>
      <c r="C19" s="18" t="n"/>
      <c r="D19" s="19" t="inlineStr">
        <is>
          <t>:</t>
        </is>
      </c>
      <c r="E19" s="50" t="inlineStr">
        <is>
          <t>12 December 2024</t>
        </is>
      </c>
      <c r="F19" s="21" t="n"/>
      <c r="G19" s="50" t="inlineStr">
        <is>
          <t>12 December 2024</t>
        </is>
      </c>
      <c r="H19" s="22" t="n"/>
      <c r="I19" s="22" t="n"/>
      <c r="J19" s="22" t="n"/>
    </row>
    <row r="20">
      <c r="A20" s="12" t="n"/>
      <c r="B20" s="17" t="inlineStr">
        <is>
          <t>Exercise Price</t>
        </is>
      </c>
      <c r="C20" s="18" t="inlineStr">
        <is>
          <t>HKD</t>
        </is>
      </c>
      <c r="D20" s="19" t="inlineStr">
        <is>
          <t>:</t>
        </is>
      </c>
      <c r="E20" s="53" t="n">
        <v>0.18</v>
      </c>
      <c r="F20" s="24" t="n"/>
      <c r="G20" s="53" t="n">
        <v>0.18</v>
      </c>
      <c r="H20" s="22" t="n"/>
      <c r="I20" s="22" t="n"/>
      <c r="J20" s="22" t="n"/>
    </row>
    <row r="21">
      <c r="A21" s="12" t="n"/>
      <c r="B21" s="17" t="inlineStr">
        <is>
          <t>Vesting Date</t>
        </is>
      </c>
      <c r="C21" s="18" t="n"/>
      <c r="D21" s="19" t="inlineStr">
        <is>
          <t>:</t>
        </is>
      </c>
      <c r="E21" s="20" t="inlineStr">
        <is>
          <t>12 December 2023</t>
        </is>
      </c>
      <c r="F21" s="24" t="n"/>
      <c r="G21" s="20" t="inlineStr">
        <is>
          <t>12 December 2023</t>
        </is>
      </c>
      <c r="H21" s="22" t="n"/>
      <c r="I21" s="22" t="n"/>
      <c r="J21" s="22" t="n"/>
    </row>
    <row r="22">
      <c r="A22" s="12" t="n"/>
      <c r="B22" s="9">
        <f>E24*E30</f>
        <v/>
      </c>
      <c r="C22" s="26" t="n"/>
      <c r="D22" s="10" t="n"/>
      <c r="E22" s="9" t="inlineStr">
        <is>
          <t>Employee</t>
        </is>
      </c>
      <c r="F22" s="9" t="inlineStr">
        <is>
          <t>Director</t>
        </is>
      </c>
      <c r="G22" s="9" t="n"/>
      <c r="H22" s="9" t="n"/>
      <c r="I22" s="28" t="n"/>
      <c r="J22" s="29" t="n"/>
    </row>
    <row r="23">
      <c r="A23" s="12" t="n"/>
      <c r="B23" s="6" t="inlineStr">
        <is>
          <t>Exhibit A-3 Key Parameters</t>
        </is>
      </c>
      <c r="C23" s="6" t="n"/>
      <c r="D23" s="7" t="n"/>
      <c r="E23" s="54" t="inlineStr">
        <is>
          <t>Amount</t>
        </is>
      </c>
      <c r="F23" s="54" t="inlineStr">
        <is>
          <t>Amount</t>
        </is>
      </c>
      <c r="G23" s="15" t="inlineStr">
        <is>
          <t>Remarks</t>
        </is>
      </c>
      <c r="H23" s="16" t="n"/>
      <c r="I23" s="49" t="n"/>
      <c r="J23" s="49" t="n"/>
    </row>
    <row r="24">
      <c r="A24" s="12" t="inlineStr">
        <is>
          <t>S</t>
        </is>
      </c>
      <c r="B24" s="55" t="inlineStr">
        <is>
          <t>Spot Price</t>
        </is>
      </c>
      <c r="C24" s="18" t="inlineStr">
        <is>
          <t>HKD</t>
        </is>
      </c>
      <c r="D24" s="19" t="inlineStr">
        <is>
          <t>:</t>
        </is>
      </c>
      <c r="E24" s="56" t="n">
        <v>0.101</v>
      </c>
      <c r="F24" s="56" t="n">
        <v>0.101</v>
      </c>
      <c r="G24" s="21" t="n"/>
      <c r="H24" s="57" t="n"/>
      <c r="I24" s="22" t="n"/>
      <c r="J24" s="22" t="n"/>
    </row>
    <row r="25">
      <c r="A25" s="12" t="inlineStr">
        <is>
          <t>K</t>
        </is>
      </c>
      <c r="B25" s="17" t="inlineStr">
        <is>
          <t>Strike Price</t>
        </is>
      </c>
      <c r="C25" s="18" t="n"/>
      <c r="D25" s="19" t="inlineStr">
        <is>
          <t>:</t>
        </is>
      </c>
      <c r="E25" s="56" t="n">
        <v>0.18</v>
      </c>
      <c r="F25" s="56" t="n">
        <v>0.18</v>
      </c>
      <c r="G25" s="21" t="n"/>
      <c r="H25" s="57" t="n"/>
      <c r="I25" s="22" t="n"/>
      <c r="J25" s="22" t="n"/>
    </row>
    <row r="26">
      <c r="A26" s="12" t="inlineStr">
        <is>
          <t>T</t>
        </is>
      </c>
      <c r="B26" s="55" t="inlineStr">
        <is>
          <t>Time to Maturity</t>
        </is>
      </c>
      <c r="C26" s="18" t="inlineStr">
        <is>
          <t>Year</t>
        </is>
      </c>
      <c r="D26" s="19" t="inlineStr">
        <is>
          <t>:</t>
        </is>
      </c>
      <c r="E26" s="58" t="n">
        <v>2</v>
      </c>
      <c r="F26" s="58" t="n">
        <v>2</v>
      </c>
      <c r="G26" s="24" t="inlineStr">
        <is>
          <t>Calculated</t>
        </is>
      </c>
      <c r="H26" s="25" t="n"/>
      <c r="I26" s="22" t="n"/>
      <c r="J26" s="22" t="n"/>
    </row>
    <row r="27">
      <c r="A27" s="12" t="inlineStr">
        <is>
          <t>V</t>
        </is>
      </c>
      <c r="B27" s="59" t="inlineStr">
        <is>
          <t>Volatility</t>
        </is>
      </c>
      <c r="C27" s="18" t="inlineStr">
        <is>
          <t>%</t>
        </is>
      </c>
      <c r="D27" s="19" t="inlineStr">
        <is>
          <t>:</t>
        </is>
      </c>
      <c r="E27" s="60" t="n">
        <v>0.5084</v>
      </c>
      <c r="F27" s="60" t="n">
        <v>0.5084</v>
      </c>
      <c r="G27" s="24" t="inlineStr">
        <is>
          <t>With reference to the historical volatility of the Issuer (2-year daily)</t>
        </is>
      </c>
      <c r="H27" s="25" t="n"/>
      <c r="I27" s="22" t="n"/>
      <c r="J27" s="62" t="n"/>
    </row>
    <row r="28">
      <c r="A28" s="12" t="inlineStr">
        <is>
          <t>R</t>
        </is>
      </c>
      <c r="B28" s="59" t="inlineStr">
        <is>
          <t>Risk-free Rate</t>
        </is>
      </c>
      <c r="C28" s="18" t="inlineStr">
        <is>
          <t>%</t>
        </is>
      </c>
      <c r="D28" s="19" t="inlineStr">
        <is>
          <t>:</t>
        </is>
      </c>
      <c r="E28" s="60" t="n">
        <v>0.0387</v>
      </c>
      <c r="F28" s="60" t="n">
        <v>0.0387</v>
      </c>
      <c r="G28" s="24" t="inlineStr">
        <is>
          <t>With reference to HKD Sovereign Curve (2-year yield)</t>
        </is>
      </c>
      <c r="H28" s="25" t="n"/>
      <c r="I28" s="22" t="n"/>
      <c r="J28" s="62" t="n"/>
    </row>
    <row r="29">
      <c r="A29" s="12" t="inlineStr">
        <is>
          <t>D</t>
        </is>
      </c>
      <c r="B29" s="59" t="inlineStr">
        <is>
          <t>Dividend Yield</t>
        </is>
      </c>
      <c r="C29" s="18" t="inlineStr">
        <is>
          <t>%</t>
        </is>
      </c>
      <c r="D29" s="19" t="inlineStr">
        <is>
          <t>:</t>
        </is>
      </c>
      <c r="E29" s="61" t="n">
        <v>0</v>
      </c>
      <c r="F29" s="61" t="n">
        <v>0</v>
      </c>
      <c r="G29" s="24" t="inlineStr">
        <is>
          <t>With reference to the historical dividend yield of the Issuer</t>
        </is>
      </c>
      <c r="H29" s="25" t="n"/>
      <c r="I29" s="22" t="n"/>
      <c r="J29" s="22" t="n"/>
    </row>
    <row r="30">
      <c r="A30" s="12" t="n"/>
      <c r="B30" s="59" t="inlineStr">
        <is>
          <t>Exercise Multiple for Employees</t>
        </is>
      </c>
      <c r="C30" s="18" t="n"/>
      <c r="D30" s="19" t="inlineStr">
        <is>
          <t>:</t>
        </is>
      </c>
      <c r="E30" s="63" t="n">
        <v>1.44</v>
      </c>
      <c r="F30" s="63" t="n">
        <v>1.85</v>
      </c>
      <c r="G30" s="24" t="inlineStr">
        <is>
          <t>With reference to exercise behavior of the relevant employees</t>
        </is>
      </c>
      <c r="H30" s="25" t="n"/>
      <c r="I30" s="22" t="n"/>
      <c r="J30" s="64" t="n"/>
    </row>
    <row r="31">
      <c r="A31" s="12" t="n"/>
      <c r="B31" s="22" t="inlineStr">
        <is>
          <t>Pre-vesting Exit Rate</t>
        </is>
      </c>
      <c r="C31" s="18" t="inlineStr">
        <is>
          <t>%</t>
        </is>
      </c>
      <c r="D31" s="19" t="inlineStr">
        <is>
          <t>:</t>
        </is>
      </c>
      <c r="E31" s="63" t="n">
        <v>0</v>
      </c>
      <c r="F31" s="63" t="n">
        <v>0</v>
      </c>
      <c r="G31" s="24" t="inlineStr">
        <is>
          <t>Assumed</t>
        </is>
      </c>
      <c r="H31" s="25" t="n"/>
      <c r="I31" s="22" t="n"/>
      <c r="J31" s="62" t="n"/>
    </row>
    <row r="32">
      <c r="A32" s="12" t="n"/>
      <c r="B32" s="59" t="inlineStr">
        <is>
          <t>Post-vesting Exit Rate</t>
        </is>
      </c>
      <c r="C32" s="18" t="inlineStr">
        <is>
          <t>%</t>
        </is>
      </c>
      <c r="D32" s="19" t="inlineStr">
        <is>
          <t>:</t>
        </is>
      </c>
      <c r="E32" s="60" t="n">
        <v>0.2485</v>
      </c>
      <c r="F32" s="61" t="n">
        <v>0.3333</v>
      </c>
      <c r="G32" s="24" t="inlineStr">
        <is>
          <t>Estimated based on historical staff turnover</t>
        </is>
      </c>
      <c r="H32" s="25" t="n"/>
      <c r="I32" s="22" t="n"/>
      <c r="J32" s="62" t="n"/>
    </row>
    <row r="33">
      <c r="A33" s="12" t="n"/>
      <c r="B33" s="55" t="inlineStr">
        <is>
          <t>Time to Vest</t>
        </is>
      </c>
      <c r="C33" s="18" t="inlineStr">
        <is>
          <t>Year</t>
        </is>
      </c>
      <c r="D33" s="19" t="inlineStr">
        <is>
          <t>:</t>
        </is>
      </c>
      <c r="E33" s="63" t="n">
        <v>1</v>
      </c>
      <c r="F33" s="63" t="n">
        <v>1</v>
      </c>
      <c r="G33" s="24" t="inlineStr">
        <is>
          <t>Calculated</t>
        </is>
      </c>
      <c r="H33" s="25" t="n"/>
      <c r="I33" s="22" t="n"/>
      <c r="J33" s="2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Tommy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2026-03-23T07:38:44Z</dcterms:modified>
  <cp:lastModifiedBy>Tommy</cp:lastModifiedBy>
</cp:coreProperties>
</file>